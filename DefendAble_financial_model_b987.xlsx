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00" yWindow="600" windowWidth="38400" windowHeight="21000" tabRatio="600" firstSheet="0" activeTab="0" autoFilterDateGrouping="1"/>
  </bookViews>
  <sheets>
    <sheet name="1. Summary" sheetId="1" state="visible" r:id="rId1"/>
    <sheet name="2. DefendAble costs" sheetId="2" state="visible" r:id="rId2"/>
    <sheet name="3. Current airline spend" sheetId="3" state="visible" r:id="rId3"/>
    <sheet name="4. Assumptions &amp; source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\£#,##0;[Red]\-\£#,##0"/>
    <numFmt numFmtId="165" formatCode="\£#,##0"/>
    <numFmt numFmtId="166" formatCode="\£#,##0.0;[Red]\-\£#,##0.0"/>
    <numFmt numFmtId="167" formatCode="\£#,##0.0"/>
    <numFmt numFmtId="168" formatCode="£#,##0"/>
    <numFmt numFmtId="169" formatCode="0.0%"/>
    <numFmt numFmtId="170" formatCode="0.0&quot; months&quot;"/>
    <numFmt numFmtId="171" formatCode="0.0&quot;x&quot;"/>
  </numFmts>
  <fonts count="2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8"/>
    </font>
    <font>
      <name val="Calibri"/>
      <family val="2"/>
      <i val="1"/>
      <color rgb="FFFFFFFF"/>
      <sz val="11"/>
    </font>
    <font>
      <name val="Calibri"/>
      <family val="2"/>
      <b val="1"/>
      <sz val="10.5"/>
    </font>
    <font>
      <name val="Calibri"/>
      <family val="2"/>
      <sz val="10.5"/>
    </font>
    <font>
      <name val="Calibri"/>
      <family val="2"/>
      <i val="1"/>
      <color rgb="FF6B6B80"/>
      <sz val="9"/>
    </font>
    <font>
      <name val="Calibri"/>
      <family val="2"/>
      <b val="1"/>
      <sz val="14"/>
    </font>
    <font>
      <name val="Calibri"/>
      <family val="2"/>
      <b val="1"/>
      <color rgb="FFFFFFFF"/>
      <sz val="11"/>
    </font>
    <font>
      <name val="Calibri"/>
      <family val="2"/>
      <b val="1"/>
      <sz val="13"/>
    </font>
    <font>
      <name val="Calibri"/>
      <family val="2"/>
      <i val="1"/>
      <color rgb="FF1B3A6B"/>
      <sz val="11"/>
    </font>
    <font>
      <name val="Calibri"/>
      <family val="2"/>
      <b val="1"/>
      <color rgb="FFFFFFFF"/>
      <sz val="15"/>
    </font>
    <font>
      <name val="Calibri"/>
      <family val="2"/>
      <i val="1"/>
      <color rgb="FFFFFFFF"/>
      <sz val="10"/>
    </font>
    <font>
      <name val="Calibri"/>
      <family val="2"/>
      <b val="1"/>
      <sz val="12"/>
    </font>
    <font>
      <name val="Calibri"/>
      <family val="2"/>
      <b val="1"/>
      <color rgb="FFFFFFFF"/>
      <sz val="12"/>
    </font>
    <font>
      <name val="Calibri"/>
      <family val="2"/>
      <b val="1"/>
      <sz val="11"/>
    </font>
    <font>
      <name val="Calibri"/>
      <family val="2"/>
      <color rgb="FF6B6B80"/>
      <sz val="9"/>
    </font>
    <font>
      <name val="Calibri"/>
      <family val="2"/>
      <b val="1"/>
      <sz val="10.5"/>
    </font>
    <font>
      <name val="Calibri"/>
      <family val="2"/>
      <sz val="10.5"/>
    </font>
    <font>
      <name val="Calibri"/>
      <family val="2"/>
      <i val="1"/>
      <color rgb="FF6B6B80"/>
      <sz val="9"/>
    </font>
    <font>
      <name val="Calibri"/>
      <family val="2"/>
      <b val="1"/>
      <sz val="13"/>
    </font>
    <font>
      <name val="Calibri"/>
      <family val="2"/>
      <color rgb="FF6B6B80"/>
      <sz val="9"/>
    </font>
    <font>
      <b val="1"/>
    </font>
    <font>
      <i val="1"/>
    </font>
  </fonts>
  <fills count="1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254E91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EFEFF2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FFFF"/>
      </patternFill>
    </fill>
    <fill>
      <patternFill patternType="solid">
        <fgColor rgb="FFEFEFF2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  <border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2" fillId="8" borderId="0" pivotButton="0" quotePrefix="0" xfId="0"/>
    <xf numFmtId="0" fontId="0" fillId="8" borderId="0" pivotButton="0" quotePrefix="0" xfId="0"/>
    <xf numFmtId="0" fontId="4" fillId="0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right" vertical="center"/>
    </xf>
    <xf numFmtId="0" fontId="13" fillId="2" borderId="0" pivotButton="0" quotePrefix="0" xfId="0"/>
    <xf numFmtId="0" fontId="0" fillId="2" borderId="0" pivotButton="0" quotePrefix="0" xfId="0"/>
    <xf numFmtId="0" fontId="14" fillId="8" borderId="0" pivotButton="0" quotePrefix="0" xfId="0"/>
    <xf numFmtId="0" fontId="12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16" fillId="0" borderId="2" applyAlignment="1" pivotButton="0" quotePrefix="0" xfId="0">
      <alignment horizontal="left" vertical="center" wrapText="1"/>
    </xf>
    <xf numFmtId="166" fontId="17" fillId="9" borderId="2" applyAlignment="1" pivotButton="0" quotePrefix="0" xfId="0">
      <alignment horizontal="right" vertical="center"/>
    </xf>
    <xf numFmtId="166" fontId="17" fillId="10" borderId="2" applyAlignment="1" pivotButton="0" quotePrefix="0" xfId="0">
      <alignment horizontal="right" vertical="center"/>
    </xf>
    <xf numFmtId="167" fontId="16" fillId="11" borderId="2" applyAlignment="1" pivotButton="0" quotePrefix="0" xfId="0">
      <alignment horizontal="right" vertical="center"/>
    </xf>
    <xf numFmtId="165" fontId="16" fillId="11" borderId="2" applyAlignment="1" pivotButton="0" quotePrefix="0" xfId="0">
      <alignment horizontal="right" vertical="center"/>
    </xf>
    <xf numFmtId="0" fontId="17" fillId="9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left" vertical="top" wrapText="1"/>
    </xf>
    <xf numFmtId="0" fontId="17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left" vertical="top" wrapText="1"/>
    </xf>
    <xf numFmtId="0" fontId="16" fillId="10" borderId="2" applyAlignment="1" pivotButton="0" quotePrefix="0" xfId="0">
      <alignment horizontal="center" vertical="center" wrapText="1"/>
    </xf>
    <xf numFmtId="0" fontId="17" fillId="10" borderId="2" applyAlignment="1" pivotButton="0" quotePrefix="0" xfId="0">
      <alignment horizontal="center"/>
    </xf>
    <xf numFmtId="0" fontId="16" fillId="9" borderId="2" applyAlignment="1" pivotButton="0" quotePrefix="0" xfId="0">
      <alignment horizontal="center" vertical="center" wrapText="1"/>
    </xf>
    <xf numFmtId="0" fontId="17" fillId="9" borderId="2" applyAlignment="1" pivotButton="0" quotePrefix="0" xfId="0">
      <alignment horizontal="center"/>
    </xf>
    <xf numFmtId="0" fontId="4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top" wrapText="1"/>
    </xf>
    <xf numFmtId="0" fontId="20" fillId="1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11" fillId="3" borderId="0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21" fillId="0" borderId="0" pivotButton="0" quotePrefix="0" xfId="0"/>
    <xf numFmtId="0" fontId="22" fillId="0" borderId="0" pivotButton="0" quotePrefix="0" xfId="0"/>
    <xf numFmtId="0" fontId="21" fillId="13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wrapText="1"/>
    </xf>
    <xf numFmtId="168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 wrapText="1"/>
    </xf>
    <xf numFmtId="170" fontId="0" fillId="0" borderId="0" applyAlignment="1" pivotButton="0" quotePrefix="0" xfId="0">
      <alignment vertical="center" wrapText="1"/>
    </xf>
    <xf numFmtId="171" fontId="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tabSelected="1" workbookViewId="0">
      <selection activeCell="A19" sqref="A19"/>
    </sheetView>
  </sheetViews>
  <sheetFormatPr baseColWidth="10" defaultColWidth="8.83203125" defaultRowHeight="15"/>
  <cols>
    <col width="26" customWidth="1" style="42" min="1" max="1"/>
    <col width="18" customWidth="1" style="42" min="2" max="3"/>
    <col width="20" customWidth="1" style="42" min="4" max="4"/>
    <col width="18" customWidth="1" style="42" min="5" max="5"/>
    <col width="15" customWidth="1" style="42" min="6" max="6"/>
    <col width="26" customWidth="1" style="42" min="7" max="7"/>
  </cols>
  <sheetData>
    <row r="1" ht="40" customHeight="1" s="42">
      <c r="A1" s="43" t="inlineStr">
        <is>
          <t>DefendAble · Financial Model</t>
        </is>
      </c>
    </row>
    <row r="2" ht="22" customHeight="1" s="42">
      <c r="A2" s="48" t="inlineStr">
        <is>
          <t>One-page ROI story · UK-airline focus · v1 · 27 July 2026</t>
        </is>
      </c>
    </row>
    <row r="4" ht="20" customHeight="1" s="42">
      <c r="A4" s="1" t="inlineStr">
        <is>
          <t>Cell key:</t>
        </is>
      </c>
      <c r="B4" s="2" t="inlineStr">
        <is>
          <t>INPUT</t>
        </is>
      </c>
      <c r="C4" s="3" t="inlineStr">
        <is>
          <t>CALCULATED</t>
        </is>
      </c>
      <c r="D4" s="4" t="inlineStr">
        <is>
          <t>SOURCED (see tag)</t>
        </is>
      </c>
      <c r="E4" s="5" t="inlineStr">
        <is>
          <t>PLACEHOLDER</t>
        </is>
      </c>
      <c r="F4" s="6" t="inlineStr">
        <is>
          <t>Every non-input cell carries a source tag (PUB / IND / EST / TBC) in its adjacent right column.</t>
        </is>
      </c>
    </row>
    <row r="7" ht="19" customHeight="1" s="42">
      <c r="A7" s="54" t="inlineStr">
        <is>
          <t>Decision-ready cost comparison</t>
        </is>
      </c>
    </row>
    <row r="8">
      <c r="A8" s="55" t="inlineStr">
        <is>
          <t>Build vs sustain vs current-system benchmark, plus annual and 3-year impact.</t>
        </is>
      </c>
    </row>
    <row r="9" ht="34" customHeight="1" s="42">
      <c r="A9" s="56" t="inlineStr">
        <is>
          <t>KPI</t>
        </is>
      </c>
      <c r="B9" s="56" t="inlineStr">
        <is>
          <t>DefendAble (£)</t>
        </is>
      </c>
      <c r="C9" s="56" t="inlineStr">
        <is>
          <t>Current system (£)</t>
        </is>
      </c>
      <c r="D9" s="56" t="inlineStr">
        <is>
          <t>Difference (£)</t>
        </is>
      </c>
      <c r="E9" s="56" t="inlineStr">
        <is>
          <t>Difference (%)</t>
        </is>
      </c>
      <c r="F9" s="56" t="inlineStr">
        <is>
          <t>Payback / ROI</t>
        </is>
      </c>
      <c r="G9" s="56" t="inlineStr">
        <is>
          <t>Source tag</t>
        </is>
      </c>
    </row>
    <row r="10">
      <c r="A10" s="57" t="inlineStr">
        <is>
          <t>One-time implementation cost (Discovery + Build)</t>
        </is>
      </c>
      <c r="B10" s="58">
        <f>'2. DefendAble costs'!F30-'2. DefendAble costs'!F31</f>
        <v/>
      </c>
      <c r="C10" s="59" t="n"/>
      <c r="D10" s="59" t="n"/>
      <c r="E10" s="59" t="n"/>
      <c r="F10" s="59" t="n"/>
      <c r="G10" s="60" t="inlineStr">
        <is>
          <t>EST-01 (Sheet2 roll-up)</t>
        </is>
      </c>
    </row>
    <row r="11">
      <c r="A11" s="57" t="inlineStr">
        <is>
          <t>Annual sustain cost (Year 2+ run only)</t>
        </is>
      </c>
      <c r="B11" s="61">
        <f>'2. DefendAble costs'!F31</f>
        <v/>
      </c>
      <c r="C11" s="62" t="n"/>
      <c r="D11" s="62" t="n"/>
      <c r="E11" s="62" t="n"/>
      <c r="F11" s="62" t="n"/>
      <c r="G11" s="62" t="inlineStr">
        <is>
          <t>EST-01 (Sheet2 run cost)</t>
        </is>
      </c>
    </row>
    <row r="12" ht="17" customHeight="1" s="42">
      <c r="A12" s="57" t="inlineStr">
        <is>
          <t>Current annual equivalent spend benchmark (median UK carrier)</t>
        </is>
      </c>
      <c r="B12" s="62" t="n"/>
      <c r="C12" s="61">
        <f>'3. Current airline spend'!G20</f>
        <v/>
      </c>
      <c r="D12" s="62" t="n"/>
      <c r="E12" s="62" t="n"/>
      <c r="F12" s="62" t="n"/>
      <c r="G12" s="62" t="inlineStr">
        <is>
          <t>Sheet3 G20 (median benchmark)</t>
        </is>
      </c>
    </row>
    <row r="13" ht="32" customHeight="1" s="42">
      <c r="A13" s="57" t="inlineStr">
        <is>
          <t>Annual run-state saving vs current system</t>
        </is>
      </c>
      <c r="B13" s="61">
        <f>B11</f>
        <v/>
      </c>
      <c r="C13" s="61">
        <f>C12</f>
        <v/>
      </c>
      <c r="D13" s="61">
        <f>C13-B13</f>
        <v/>
      </c>
      <c r="E13" s="63">
        <f>IF(C13&lt;=0,"n/a",D13/C13)</f>
        <v/>
      </c>
      <c r="F13" s="64">
        <f>IF(D13&lt;=0,"n/a",ROUND(B10/(D13/12),1))</f>
        <v/>
      </c>
      <c r="G13" s="62" t="inlineStr">
        <is>
          <t>Derived: Sheets 2 + 3</t>
        </is>
      </c>
    </row>
    <row r="14" ht="32" customHeight="1" s="42">
      <c r="A14" s="57" t="inlineStr">
        <is>
          <t>Year 1 total impact vs current system</t>
        </is>
      </c>
      <c r="B14" s="61">
        <f>'2. DefendAble costs'!F30</f>
        <v/>
      </c>
      <c r="C14" s="61">
        <f>C12</f>
        <v/>
      </c>
      <c r="D14" s="61">
        <f>C14-B14</f>
        <v/>
      </c>
      <c r="E14" s="63">
        <f>IF(C14&lt;=0,"n/a",D14/C14)</f>
        <v/>
      </c>
      <c r="F14" s="62" t="n"/>
      <c r="G14" s="62" t="inlineStr">
        <is>
          <t>Derived: Sheets 2 + 3</t>
        </is>
      </c>
    </row>
    <row r="15" ht="32" customHeight="1" s="42">
      <c r="A15" s="57" t="inlineStr">
        <is>
          <t>3-year TCO comparison (DefendAble vs current system)</t>
        </is>
      </c>
      <c r="B15" s="61">
        <f>B14+(B11*2)</f>
        <v/>
      </c>
      <c r="C15" s="61">
        <f>C12*3</f>
        <v/>
      </c>
      <c r="D15" s="61">
        <f>C15-B15</f>
        <v/>
      </c>
      <c r="E15" s="63">
        <f>IF(C15&lt;=0,"n/a",D15/C15)</f>
        <v/>
      </c>
      <c r="F15" s="65">
        <f>IF(B10&lt;=0,"n/a",ROUND(D15/B10,1))</f>
        <v/>
      </c>
      <c r="G15" s="62" t="inlineStr">
        <is>
          <t>Derived: annual model projections</t>
        </is>
      </c>
    </row>
    <row r="16" ht="32" customHeight="1" s="42"/>
    <row r="18" ht="38" customHeight="1" s="42">
      <c r="A18" s="46" t="inlineStr">
        <is>
          <t>Value pillars — what DefendAble delivers</t>
        </is>
      </c>
    </row>
    <row r="19">
      <c r="A19" s="66" t="inlineStr">
        <is>
          <t>Turnaround time</t>
        </is>
      </c>
      <c r="B19" s="67" t="inlineStr">
        <is>
          <t>Case moves from disruption to defence letter faster. Time-to-response is the single biggest lever under the 2027 EC261 Reform 30-day statutory clock.</t>
        </is>
      </c>
    </row>
    <row r="20" ht="17" customHeight="1" s="42">
      <c r="A20" s="66" t="inlineStr">
        <is>
          <t>Accuracy</t>
        </is>
      </c>
      <c r="B20" s="62" t="inlineStr">
        <is>
          <t>Fewer wrong outcomes — fewer settlements paid when defence would have won.</t>
        </is>
      </c>
    </row>
    <row r="21" ht="42" customHeight="1" s="42">
      <c r="A21" s="66" t="inlineStr">
        <is>
          <t>Focus on precedent-setting cases</t>
        </is>
      </c>
      <c r="B21" s="62" t="inlineStr">
        <is>
          <t>Legal team freed to work on cases that influence law/regulation rather than routine claim defence.</t>
        </is>
      </c>
    </row>
    <row r="22" ht="42" customHeight="1" s="42">
      <c r="A22" s="66" t="inlineStr">
        <is>
          <t>Fewer people needed</t>
        </is>
      </c>
      <c r="B22" s="62" t="inlineStr">
        <is>
          <t>Direct headcount saving on evidence-gathering + first-line claims triage.</t>
        </is>
      </c>
    </row>
    <row r="23" ht="42" customHeight="1" s="42"/>
    <row r="24" ht="42" customHeight="1" s="42">
      <c r="A24" s="44" t="n"/>
    </row>
    <row r="25" ht="42" customHeight="1" s="42"/>
    <row r="26">
      <c r="A26" s="47" t="inlineStr">
        <is>
          <t>Pitch-ready anchor points</t>
        </is>
      </c>
    </row>
    <row r="27">
      <c r="A27" s="45" t="inlineStr">
        <is>
          <t>• easyJet FY25 disclosed £109m EC261 compensation &amp; welfare costs — down from £187m in FY24, a £78m annual reduction attributed to operational resilience investment. Proves the ROI on any evidence / defence platform that speeds decisions or improves accuracy.</t>
        </is>
      </c>
    </row>
    <row r="28">
      <c r="A28" s="45" t="inlineStr">
        <is>
          <t>• Wizz Air FY26 Annual Report (verbatim): 'the regulatory risk related to EC261 compensation has become a principal concern.' First UK-listed carrier to promote EC261 to principal risk. UK CAA £1.24m penalty Oct 2025 is the shape of enforcement cost.</t>
        </is>
      </c>
    </row>
    <row r="29">
      <c r="A29" s="45" t="inlineStr">
        <is>
          <t>• Ryanair FY26 exceptional charge of €85m — provision for a €256m Italian AGCM fine plus €54m Spanish baggage fine under appeal. Regulator exposure is now nine-figure territory, not decorative.</t>
        </is>
      </c>
    </row>
    <row r="30">
      <c r="A30" s="45" t="inlineStr">
        <is>
          <t>• IAG (BA) group ARA does not disclose EC261 line-item. BA on ~45m passengers × industry benchmark implies £180-320m annual EC261 exposure at BA alone — meaning the UK's biggest carrier has never told its own shareholders what its passenger-compensation bill is.</t>
        </is>
      </c>
    </row>
    <row r="31">
      <c r="A31" s="45" t="inlineStr">
        <is>
          <t>• Median UK-carrier total addressable spend on the operational surface DefendAble replaces (this row auto-updates from Sheet 3) is the target figure for the ROI conversation.</t>
        </is>
      </c>
    </row>
  </sheetData>
  <mergeCells count="7">
    <mergeCell ref="A1:G1"/>
    <mergeCell ref="A18:G18"/>
    <mergeCell ref="A24:G24"/>
    <mergeCell ref="A2:G2"/>
    <mergeCell ref="A7:G7"/>
    <mergeCell ref="A25:G2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F1"/>
    </sheetView>
  </sheetViews>
  <sheetFormatPr baseColWidth="10" defaultColWidth="8.83203125" defaultRowHeight="15"/>
  <cols>
    <col width="42" customWidth="1" style="42" min="1" max="1"/>
    <col width="20" customWidth="1" style="42" min="2" max="4"/>
    <col width="44" customWidth="1" style="42" min="5" max="5"/>
    <col width="19.1640625" customWidth="1" style="42" min="6" max="6"/>
  </cols>
  <sheetData>
    <row r="1" ht="34" customHeight="1" s="42">
      <c r="A1" s="51" t="inlineStr">
        <is>
          <t>Sheet 2 · DefendAble build &amp; run costs</t>
        </is>
      </c>
    </row>
    <row r="2" ht="20" customHeight="1" s="42">
      <c r="A2" s="50" t="inlineStr">
        <is>
          <t>Yellow = editable input · white = calculated · green = sourced · red = placeholder</t>
        </is>
      </c>
    </row>
    <row r="4" ht="34" customHeight="1" s="42">
      <c r="A4" s="7" t="inlineStr">
        <is>
          <t>Line item</t>
        </is>
      </c>
      <c r="B4" s="7" t="inlineStr">
        <is>
          <t>Volume tier: 10 cases/mo</t>
        </is>
      </c>
      <c r="C4" s="7" t="inlineStr">
        <is>
          <t>Volume tier: 100 cases/mo</t>
        </is>
      </c>
      <c r="D4" s="7" t="inlineStr">
        <is>
          <t>Volume tier: 1,000 cases/mo</t>
        </is>
      </c>
      <c r="E4" s="7" t="inlineStr">
        <is>
          <t>Notes</t>
        </is>
      </c>
      <c r="F4" s="7" t="inlineStr">
        <is>
          <t>Source</t>
        </is>
      </c>
    </row>
    <row r="6" ht="16" customHeight="1" s="42">
      <c r="A6" s="11" t="inlineStr">
        <is>
          <t>A · Discovery phase (one-off, pre-build)</t>
        </is>
      </c>
      <c r="B6" s="12" t="n"/>
      <c r="C6" s="12" t="n"/>
      <c r="D6" s="12" t="n"/>
      <c r="E6" s="12" t="n"/>
      <c r="F6" s="12" t="n"/>
    </row>
    <row r="7" ht="16" customHeight="1" s="42">
      <c r="A7" s="13" t="inlineStr">
        <is>
          <t>Discovery duration (working days)</t>
        </is>
      </c>
      <c r="B7" s="14" t="n">
        <v>15</v>
      </c>
      <c r="C7" s="14" t="n">
        <v>15</v>
      </c>
      <c r="D7" s="14" t="n">
        <v>15</v>
      </c>
      <c r="E7" s="15" t="inlineStr">
        <is>
          <t>3 weeks — industry standard for enterprise discovery</t>
        </is>
      </c>
      <c r="F7" s="16" t="inlineStr">
        <is>
          <t>IND-01</t>
        </is>
      </c>
    </row>
    <row r="8" ht="16" customHeight="1" s="42">
      <c r="A8" s="13" t="inlineStr">
        <is>
          <t>Discovery team size (people)</t>
        </is>
      </c>
      <c r="B8" s="14" t="n">
        <v>3</v>
      </c>
      <c r="C8" s="14" t="n">
        <v>3</v>
      </c>
      <c r="D8" s="14" t="n">
        <v>3</v>
      </c>
      <c r="E8" s="15" t="inlineStr">
        <is>
          <t>Senior eng + architect + business analyst</t>
        </is>
      </c>
      <c r="F8" s="16" t="inlineStr">
        <is>
          <t>IND-01</t>
        </is>
      </c>
    </row>
    <row r="9" ht="16" customHeight="1" s="42">
      <c r="A9" s="13" t="inlineStr">
        <is>
          <t>Blended day-rate (£)</t>
        </is>
      </c>
      <c r="B9" s="14" t="n">
        <v>850</v>
      </c>
      <c r="C9" s="14" t="n">
        <v>850</v>
      </c>
      <c r="D9" s="14" t="n">
        <v>850</v>
      </c>
      <c r="E9" s="15" t="inlineStr">
        <is>
          <t>Outsourced UK tech team day-rate</t>
        </is>
      </c>
      <c r="F9" s="16" t="inlineStr">
        <is>
          <t>IND-01</t>
        </is>
      </c>
    </row>
    <row r="10">
      <c r="A10" s="1" t="inlineStr">
        <is>
          <t>Discovery phase cost (£)</t>
        </is>
      </c>
      <c r="B10" s="17">
        <f>B7*B8*B9</f>
        <v/>
      </c>
      <c r="C10" s="17">
        <f>C7*C8*C9</f>
        <v/>
      </c>
      <c r="D10" s="17">
        <f>D7*D8*D9</f>
        <v/>
      </c>
      <c r="E10" s="9" t="inlineStr">
        <is>
          <t>days * team * rate</t>
        </is>
      </c>
      <c r="F10" s="9" t="inlineStr">
        <is>
          <t>EST-01</t>
        </is>
      </c>
    </row>
    <row r="12" ht="16" customHeight="1" s="42">
      <c r="A12" s="11" t="inlineStr">
        <is>
          <t>B · Construction phase (Year 1, first-build)</t>
        </is>
      </c>
      <c r="B12" s="12" t="n"/>
      <c r="C12" s="12" t="n"/>
      <c r="D12" s="12" t="n"/>
      <c r="E12" s="12" t="n"/>
      <c r="F12" s="12" t="n"/>
    </row>
    <row r="13" ht="16" customHeight="1" s="42">
      <c r="A13" s="13" t="inlineStr">
        <is>
          <t>Build team size (people)</t>
        </is>
      </c>
      <c r="B13" s="14" t="n">
        <v>4</v>
      </c>
      <c r="C13" s="14" t="n">
        <v>6</v>
      </c>
      <c r="D13" s="14" t="n">
        <v>8</v>
      </c>
      <c r="E13" s="15" t="inlineStr">
        <is>
          <t>Scales with delivery scope; small at low volume, larger at scale</t>
        </is>
      </c>
      <c r="F13" s="16" t="inlineStr">
        <is>
          <t>IND-02</t>
        </is>
      </c>
    </row>
    <row r="14" ht="16" customHeight="1" s="42">
      <c r="A14" s="13" t="inlineStr">
        <is>
          <t>Build duration (working days)</t>
        </is>
      </c>
      <c r="B14" s="14" t="n">
        <v>90</v>
      </c>
      <c r="C14" s="14" t="n">
        <v>130</v>
      </c>
      <c r="D14" s="14" t="n">
        <v>180</v>
      </c>
      <c r="E14" s="15" t="inlineStr">
        <is>
          <t>3.5–8 months elapsed depending on complexity</t>
        </is>
      </c>
      <c r="F14" s="16" t="inlineStr">
        <is>
          <t>EST-02</t>
        </is>
      </c>
    </row>
    <row r="15" ht="16" customHeight="1" s="42">
      <c r="A15" s="13" t="inlineStr">
        <is>
          <t>Blended day-rate (£)</t>
        </is>
      </c>
      <c r="B15" s="14" t="n">
        <v>850</v>
      </c>
      <c r="C15" s="14" t="n">
        <v>850</v>
      </c>
      <c r="D15" s="14" t="n">
        <v>850</v>
      </c>
      <c r="E15" s="15" t="inlineStr">
        <is>
          <t>As above</t>
        </is>
      </c>
      <c r="F15" s="16" t="inlineStr">
        <is>
          <t>IND-01</t>
        </is>
      </c>
    </row>
    <row r="16">
      <c r="A16" s="1" t="inlineStr">
        <is>
          <t>Construction phase cost (£)</t>
        </is>
      </c>
      <c r="B16" s="17">
        <f>B13*B14*B15</f>
        <v/>
      </c>
      <c r="C16" s="17">
        <f>C13*C14*C15</f>
        <v/>
      </c>
      <c r="D16" s="17">
        <f>D13*D14*D15</f>
        <v/>
      </c>
      <c r="E16" s="9" t="inlineStr">
        <is>
          <t>team * days * rate</t>
        </is>
      </c>
      <c r="F16" s="9" t="inlineStr">
        <is>
          <t>EST-01</t>
        </is>
      </c>
    </row>
    <row r="18" ht="16" customHeight="1" s="42">
      <c r="A18" s="11" t="inlineStr">
        <is>
          <t>C · Run costs (Year 2+, annual)</t>
        </is>
      </c>
      <c r="B18" s="12" t="n"/>
      <c r="C18" s="12" t="n"/>
      <c r="D18" s="12" t="n"/>
      <c r="E18" s="12" t="n"/>
      <c r="F18" s="12" t="n"/>
    </row>
    <row r="19" ht="16" customHeight="1" s="42">
      <c r="A19" s="13" t="inlineStr">
        <is>
          <t>Ongoing team size (FTE)</t>
        </is>
      </c>
      <c r="B19" s="14" t="n">
        <v>2</v>
      </c>
      <c r="C19" s="14" t="n">
        <v>3</v>
      </c>
      <c r="D19" s="14" t="n">
        <v>5</v>
      </c>
      <c r="E19" s="15" t="inlineStr">
        <is>
          <t>SME/Product Owner + engineering + evidence support</t>
        </is>
      </c>
      <c r="F19" s="16" t="inlineStr">
        <is>
          <t>IND-02</t>
        </is>
      </c>
    </row>
    <row r="20" ht="16" customHeight="1" s="42">
      <c r="A20" s="13" t="inlineStr">
        <is>
          <t>Working days per year</t>
        </is>
      </c>
      <c r="B20" s="14" t="n">
        <v>220</v>
      </c>
      <c r="C20" s="14" t="n">
        <v>220</v>
      </c>
      <c r="D20" s="14" t="n">
        <v>220</v>
      </c>
      <c r="E20" s="15" t="inlineStr">
        <is>
          <t>Industry norm for FTE cost calc</t>
        </is>
      </c>
      <c r="F20" s="16" t="inlineStr">
        <is>
          <t>IND-01</t>
        </is>
      </c>
    </row>
    <row r="21" ht="16" customHeight="1" s="42">
      <c r="A21" s="13" t="inlineStr">
        <is>
          <t>Blended day-rate (£)</t>
        </is>
      </c>
      <c r="B21" s="14" t="n">
        <v>850</v>
      </c>
      <c r="C21" s="14" t="n">
        <v>850</v>
      </c>
      <c r="D21" s="14" t="n">
        <v>850</v>
      </c>
      <c r="E21" s="15" t="inlineStr">
        <is>
          <t>As above</t>
        </is>
      </c>
      <c r="F21" s="16" t="inlineStr">
        <is>
          <t>IND-01</t>
        </is>
      </c>
    </row>
    <row r="22" ht="26" customHeight="1" s="42">
      <c r="A22" s="13" t="inlineStr">
        <is>
          <t>Annual API/SaaS subscriptions (£)</t>
        </is>
      </c>
      <c r="B22" s="14" t="n">
        <v>500</v>
      </c>
      <c r="C22" s="14" t="n">
        <v>5000</v>
      </c>
      <c r="D22" s="14" t="n">
        <v>25000</v>
      </c>
      <c r="E22" s="15" t="inlineStr">
        <is>
          <t>Layer 1 free · Layer 2 OPSGROUP + AVWX · Layer 3 usage-billed at scale</t>
        </is>
      </c>
      <c r="F22" s="16" t="inlineStr">
        <is>
          <t>EST-03</t>
        </is>
      </c>
    </row>
    <row r="23" ht="16" customHeight="1" s="42">
      <c r="A23" s="13" t="inlineStr">
        <is>
          <t>Hosting + infrastructure (£/year)</t>
        </is>
      </c>
      <c r="B23" s="14" t="n">
        <v>0</v>
      </c>
      <c r="C23" s="14" t="n">
        <v>240</v>
      </c>
      <c r="D23" s="14" t="n">
        <v>2400</v>
      </c>
      <c r="E23" s="15" t="inlineStr">
        <is>
          <t>GitHub Actions free at low vol · scales cheaply</t>
        </is>
      </c>
      <c r="F23" s="16" t="inlineStr">
        <is>
          <t>EST-04</t>
        </is>
      </c>
    </row>
    <row r="24" ht="16" customHeight="1" s="42">
      <c r="A24" s="13" t="inlineStr">
        <is>
          <t>Change-mgmt / training budget (£)</t>
        </is>
      </c>
      <c r="B24" s="14" t="n">
        <v>5000</v>
      </c>
      <c r="C24" s="14" t="n">
        <v>15000</v>
      </c>
      <c r="D24" s="14" t="n">
        <v>40000</v>
      </c>
      <c r="E24" s="15" t="inlineStr">
        <is>
          <t>Advisor flagged as always underestimated</t>
        </is>
      </c>
      <c r="F24" s="16" t="inlineStr">
        <is>
          <t>IND-03</t>
        </is>
      </c>
    </row>
    <row r="25">
      <c r="A25" s="1" t="inlineStr">
        <is>
          <t>Annual labour cost (£)</t>
        </is>
      </c>
      <c r="B25" s="17">
        <f>B19*B20*B21</f>
        <v/>
      </c>
      <c r="C25" s="17">
        <f>C19*C20*C21</f>
        <v/>
      </c>
      <c r="D25" s="17">
        <f>D19*D20*D21</f>
        <v/>
      </c>
      <c r="F25" s="9" t="inlineStr">
        <is>
          <t>EST-01</t>
        </is>
      </c>
    </row>
    <row r="26">
      <c r="A26" s="1" t="inlineStr">
        <is>
          <t>Total annual run cost (£)</t>
        </is>
      </c>
      <c r="B26" s="17">
        <f>B25+B22+B23+B24</f>
        <v/>
      </c>
      <c r="C26" s="17">
        <f>C25+C22+C23+C24</f>
        <v/>
      </c>
      <c r="D26" s="17">
        <f>D25+D22+D23+D24</f>
        <v/>
      </c>
      <c r="E26" s="9" t="inlineStr">
        <is>
          <t>labour + APIs + infra + change mgmt</t>
        </is>
      </c>
      <c r="F26" s="9" t="inlineStr">
        <is>
          <t>EST-01</t>
        </is>
      </c>
    </row>
    <row r="29" ht="16" customHeight="1" s="42">
      <c r="A29" s="18" t="inlineStr">
        <is>
          <t>TOTALS (used by Sheet 1 Summary)</t>
        </is>
      </c>
      <c r="B29" s="19" t="n"/>
      <c r="C29" s="19" t="n"/>
      <c r="D29" s="19" t="n"/>
      <c r="E29" s="19" t="n"/>
      <c r="F29" s="19" t="n"/>
    </row>
    <row r="30">
      <c r="A30" s="1" t="inlineStr">
        <is>
          <t>Year 1 total (discovery + build + run)</t>
        </is>
      </c>
      <c r="B30" s="17">
        <f>B10+B16+B26</f>
        <v/>
      </c>
      <c r="C30" s="17">
        <f>C10+C16+C26</f>
        <v/>
      </c>
      <c r="D30" s="17">
        <f>D10+D16+D26</f>
        <v/>
      </c>
      <c r="F30" s="9">
        <f>C30</f>
        <v/>
      </c>
    </row>
    <row r="31">
      <c r="A31" s="1" t="inlineStr">
        <is>
          <t>Year 2+ annual run cost</t>
        </is>
      </c>
      <c r="B31" s="17">
        <f>B26</f>
        <v/>
      </c>
      <c r="C31" s="17">
        <f>C26</f>
        <v/>
      </c>
      <c r="D31" s="17">
        <f>D26</f>
        <v/>
      </c>
      <c r="F31" s="9">
        <f>C31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3" sqref="A13"/>
    </sheetView>
  </sheetViews>
  <sheetFormatPr baseColWidth="10" defaultColWidth="8.83203125" defaultRowHeight="15"/>
  <cols>
    <col width="34" customWidth="1" style="42" min="1" max="1"/>
    <col width="18" customWidth="1" style="42" min="2" max="2"/>
    <col width="22" customWidth="1" style="42" min="3" max="6"/>
    <col width="24" customWidth="1" style="42" min="7" max="7"/>
  </cols>
  <sheetData>
    <row r="1" ht="34" customHeight="1" s="42">
      <c r="A1" s="51" t="inlineStr">
        <is>
          <t>Sheet 3 · Current airline spend — UK carriers</t>
        </is>
      </c>
    </row>
    <row r="2" ht="20" customHeight="1" s="42">
      <c r="A2" s="50" t="inlineStr">
        <is>
          <t>Rows = airline. Columns = cost buckets covering the same operational surface DefendAble replaces. All figures £m unless stated.</t>
        </is>
      </c>
    </row>
    <row r="4" ht="44" customHeight="1" s="42">
      <c r="A4" s="7" t="inlineStr">
        <is>
          <t>Airline (UK carriers)</t>
        </is>
      </c>
      <c r="B4" s="7" t="inlineStr">
        <is>
          <t>EC261 payouts (£m)</t>
        </is>
      </c>
      <c r="C4" s="7" t="inlineStr">
        <is>
          <t>Claims / evidence FTE cost (£m)</t>
        </is>
      </c>
      <c r="D4" s="7" t="inlineStr">
        <is>
          <t>External legal &amp; prof. spend (£m)</t>
        </is>
      </c>
      <c r="E4" s="7" t="inlineStr">
        <is>
          <t>Evidence vendor licences (£m)</t>
        </is>
      </c>
      <c r="F4" s="7" t="inlineStr">
        <is>
          <t>Regulator penalty exposure (£m)</t>
        </is>
      </c>
      <c r="G4" s="7" t="inlineStr">
        <is>
          <t>Est. total addressable spend (£m)</t>
        </is>
      </c>
    </row>
    <row r="5" ht="16" customHeight="1" s="42">
      <c r="A5" s="28" t="inlineStr">
        <is>
          <t>easyJet Group plc (FY25)</t>
        </is>
      </c>
      <c r="B5" s="29" t="n">
        <v>109</v>
      </c>
      <c r="C5" s="30" t="n">
        <v>14</v>
      </c>
      <c r="D5" s="30" t="n">
        <v>17</v>
      </c>
      <c r="E5" s="30" t="n">
        <v>3</v>
      </c>
      <c r="F5" s="30" t="n">
        <v>2</v>
      </c>
      <c r="G5" s="31">
        <f>SUM(B5:F5)</f>
        <v/>
      </c>
    </row>
    <row r="6" ht="32" customHeight="1" s="42">
      <c r="A6" s="52" t="inlineStr">
        <is>
          <t xml:space="preserve">   sources: PUB-EZY-01 · EST-EZY-01 · FY25 £109m EC261 = disclosed (CFO review). FY24 was £187m — £78m fall attributed to operational resilience.</t>
        </is>
      </c>
    </row>
    <row r="7" ht="16" customHeight="1" s="42">
      <c r="A7" s="28" t="inlineStr">
        <is>
          <t>Jet2 plc (FY25)</t>
        </is>
      </c>
      <c r="B7" s="30" t="n">
        <v>55</v>
      </c>
      <c r="C7" s="30" t="n">
        <v>16</v>
      </c>
      <c r="D7" s="30" t="n">
        <v>8</v>
      </c>
      <c r="E7" s="30" t="n">
        <v>0.5</v>
      </c>
      <c r="F7" s="30" t="n">
        <v>0</v>
      </c>
      <c r="G7" s="31">
        <f>SUM(B7:F7)</f>
        <v/>
      </c>
    </row>
    <row r="8" ht="32" customHeight="1" s="42">
      <c r="A8" s="52" t="inlineStr">
        <is>
          <t xml:space="preserve">   sources: EST-JT2-01 · Nothing disclosed line-by-line. Industry-leading 0.05% cancellation rate → lower per-pax EC261 than peers. Est. ~£3/pax × 19.5m pax.</t>
        </is>
      </c>
    </row>
    <row r="9" ht="16" customHeight="1" s="42">
      <c r="A9" s="28" t="inlineStr">
        <is>
          <t>IAG (British Airways only, FY24)</t>
        </is>
      </c>
      <c r="B9" s="30" t="n">
        <v>250</v>
      </c>
      <c r="C9" s="30" t="n">
        <v>45</v>
      </c>
      <c r="D9" s="30" t="n">
        <v>60</v>
      </c>
      <c r="E9" s="30" t="n">
        <v>15</v>
      </c>
      <c r="F9" s="30" t="n">
        <v>3</v>
      </c>
      <c r="G9" s="31">
        <f>SUM(B9:F9)</f>
        <v/>
      </c>
    </row>
    <row r="10" ht="32" customHeight="1" s="42">
      <c r="A10" s="52" t="inlineStr">
        <is>
          <t xml:space="preserve">   sources: EST-BA-01 · Not broken out in IAG group ARA. Estimates from BA ~45m pax × £4-7/pax benchmark. BA plc files separately at Companies House for line-level disclosure.</t>
        </is>
      </c>
    </row>
    <row r="11" ht="16" customHeight="1" s="42">
      <c r="A11" s="28" t="inlineStr">
        <is>
          <t>Ryanair Holdings plc (FY26, £ converted from €)</t>
        </is>
      </c>
      <c r="B11" s="30" t="n">
        <v>66</v>
      </c>
      <c r="C11" s="30" t="n">
        <v>15</v>
      </c>
      <c r="D11" s="30" t="n">
        <v>47</v>
      </c>
      <c r="E11" s="30" t="n">
        <v>4</v>
      </c>
      <c r="F11" s="29" t="n">
        <v>72</v>
      </c>
      <c r="G11" s="31">
        <f>SUM(B11:F11)</f>
        <v/>
      </c>
    </row>
    <row r="12" ht="32" customHeight="1" s="42">
      <c r="A12" s="52" t="inlineStr">
        <is>
          <t xml:space="preserve">   sources: PUB-RYA-01 · EST-RYA-01 · Regulator: €85m FY26 provision (33% of Italian AGCM €256m fine) + €54m Spanish baggage fine (FY25, under appeal). EUR→GBP at 0.85.</t>
        </is>
      </c>
    </row>
    <row r="13" ht="41" customHeight="1" s="42">
      <c r="A13" s="28" t="inlineStr">
        <is>
          <t>Wizz Air Holdings plc (FY26, £ converted from €)</t>
        </is>
      </c>
      <c r="B13" s="29" t="n">
        <v>51</v>
      </c>
      <c r="C13" s="30" t="n">
        <v>7</v>
      </c>
      <c r="D13" s="30" t="n">
        <v>15</v>
      </c>
      <c r="E13" s="30" t="n">
        <v>5</v>
      </c>
      <c r="F13" s="29" t="n">
        <v>10</v>
      </c>
      <c r="G13" s="31">
        <f>SUM(B13:F13)</f>
        <v/>
      </c>
    </row>
    <row r="14" ht="32" customHeight="1" s="42">
      <c r="A14" s="52" t="inlineStr">
        <is>
          <t xml:space="preserve">   sources: PUB-WZZ-01 · EST-WZZ-01 · Disclosed disruption cost F26 €136.7m (F25 €166.5m). Management: 'the regulatory risk related to EC261 compensation has become a principal concern.' UK CAA £1.24m Oct 2025.</t>
        </is>
      </c>
    </row>
    <row r="16">
      <c r="A16" s="20" t="inlineStr">
        <is>
          <t>Median across UK carriers — used by Sheet 1 Summary</t>
        </is>
      </c>
      <c r="B16" s="12" t="n"/>
      <c r="C16" s="12" t="n"/>
      <c r="D16" s="12" t="n"/>
      <c r="E16" s="12" t="n"/>
      <c r="F16" s="12" t="n"/>
      <c r="G16" s="32">
        <f>MEDIAN(G5,G7,G9,G11,G13)*1000000</f>
        <v/>
      </c>
    </row>
    <row r="17">
      <c r="A17" s="1" t="inlineStr">
        <is>
          <t>Median total addressable spend (£m)</t>
        </is>
      </c>
      <c r="B17" s="12" t="n"/>
      <c r="C17" s="12" t="n"/>
      <c r="D17" s="12" t="n"/>
      <c r="E17" s="12" t="n"/>
      <c r="F17" s="12" t="n"/>
      <c r="G17" s="17">
        <f>IFERROR(MEDIAN(G5,G7,G9,G11,G13),0)*1000000</f>
        <v/>
      </c>
    </row>
    <row r="20" ht="16" customHeight="1" s="42">
      <c r="A20" s="21" t="inlineStr">
        <is>
          <t>Notes on population approach</t>
        </is>
      </c>
      <c r="G20">
        <f>G16</f>
        <v/>
      </c>
    </row>
    <row r="21" ht="32" customHeight="1" s="42">
      <c r="A21" s="53" t="inlineStr">
        <is>
          <t>• Populate each cell from the airline's most recent annual report + investor presentation. Where the line item isn't disclosed, apply a logical estimate based on peer airlines of similar scale and mark with an EST-nn tag.</t>
        </is>
      </c>
    </row>
    <row r="22" ht="32" customHeight="1" s="42">
      <c r="A22" s="53" t="inlineStr">
        <is>
          <t>• 'EC261 payouts' likely appears in cost of sales notes or under 'customer &amp; marketing' / 'passenger costs' / 'other operating costs'.</t>
        </is>
      </c>
    </row>
    <row r="23" ht="32" customHeight="1" s="42">
      <c r="A23" s="53" t="inlineStr">
        <is>
          <t>• 'Claims / evidence FTE cost' — estimate from employee count × average burdened cost per FTE, applied to the customer relations / claims team headcount.</t>
        </is>
      </c>
    </row>
    <row r="24" ht="32" customHeight="1" s="42">
      <c r="A24" s="53" t="inlineStr">
        <is>
          <t>• 'External legal &amp; prof. spend' — professional services line, sometimes broken out separately in notes.</t>
        </is>
      </c>
    </row>
    <row r="25" ht="32" customHeight="1" s="42">
      <c r="A25" s="53" t="inlineStr">
        <is>
          <t>• 'Evidence vendor licences' — TOPS, Ogimet subscription equivalents, MAX OPS if disclosed. Usually a rough estimate.</t>
        </is>
      </c>
    </row>
    <row r="26" ht="32" customHeight="1" s="42">
      <c r="A26" s="53" t="inlineStr">
        <is>
          <t>• 'Regulator penalty exposure' — historical fines + provisions for future enforcement. Wizz Air £1.24m 2025 case (PUB-CAA-01) is the current headline.</t>
        </is>
      </c>
    </row>
    <row r="27" ht="32" customHeight="1" s="42">
      <c r="A27" s="53" t="inlineStr">
        <is>
          <t>• Median total addressable spend across the 5 UK carriers is the figure carried through to Sheet 1 Summary as the fair benchmark for what DefendAble replaces.</t>
        </is>
      </c>
    </row>
  </sheetData>
  <mergeCells count="14">
    <mergeCell ref="A14:G14"/>
    <mergeCell ref="A1:G1"/>
    <mergeCell ref="A27:G27"/>
    <mergeCell ref="A8:G8"/>
    <mergeCell ref="A6:G6"/>
    <mergeCell ref="A21:G21"/>
    <mergeCell ref="A22:G22"/>
    <mergeCell ref="A12:G12"/>
    <mergeCell ref="A26:G26"/>
    <mergeCell ref="A24:G24"/>
    <mergeCell ref="A2:G2"/>
    <mergeCell ref="A25:G25"/>
    <mergeCell ref="A10:G10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:E1"/>
    </sheetView>
  </sheetViews>
  <sheetFormatPr baseColWidth="10" defaultColWidth="8.83203125" defaultRowHeight="15"/>
  <cols>
    <col width="12" customWidth="1" style="42" min="1" max="1"/>
    <col width="18" customWidth="1" style="42" min="2" max="2"/>
    <col width="55" customWidth="1" style="42" min="3" max="3"/>
    <col width="44" customWidth="1" style="42" min="4" max="4"/>
    <col width="14" customWidth="1" style="42" min="5" max="5"/>
  </cols>
  <sheetData>
    <row r="1" ht="34" customHeight="1" s="42">
      <c r="A1" s="51" t="inlineStr">
        <is>
          <t>Sheet 4 · Assumptions &amp; sources</t>
        </is>
      </c>
    </row>
    <row r="2" ht="20" customHeight="1" s="42">
      <c r="A2" s="50" t="inlineStr">
        <is>
          <t>Every non-input number in Sheets 2–3 carries a tag from this register. PUB = public source · IND = internal industry advisor · EST = pure estimate · TBC = to be collected.</t>
        </is>
      </c>
    </row>
    <row r="4" ht="28" customHeight="1" s="42">
      <c r="A4" s="7" t="inlineStr">
        <is>
          <t>Tag</t>
        </is>
      </c>
      <c r="B4" s="7" t="inlineStr">
        <is>
          <t>Category</t>
        </is>
      </c>
      <c r="C4" s="7" t="inlineStr">
        <is>
          <t>Description</t>
        </is>
      </c>
      <c r="D4" s="7" t="inlineStr">
        <is>
          <t>Source / URL</t>
        </is>
      </c>
      <c r="E4" s="7" t="inlineStr">
        <is>
          <t>Date</t>
        </is>
      </c>
    </row>
    <row r="5" ht="44" customHeight="1" s="42">
      <c r="A5" s="22" t="inlineStr">
        <is>
          <t>IND-01</t>
        </is>
      </c>
      <c r="B5" s="23" t="inlineStr">
        <is>
          <t>Cost anchor</t>
        </is>
      </c>
      <c r="C5" s="23" t="inlineStr">
        <is>
          <t>Outsourced UK tech team day-rate (~£850), working days per year (220), team size (5-10).</t>
        </is>
      </c>
      <c r="D5" s="23" t="inlineStr">
        <is>
          <t>Internal industry advisor input, private correspondence</t>
        </is>
      </c>
      <c r="E5" s="3" t="inlineStr">
        <is>
          <t>24 Jun 2026</t>
        </is>
      </c>
    </row>
    <row r="6" ht="44" customHeight="1" s="42">
      <c r="A6" s="22" t="inlineStr">
        <is>
          <t>IND-02</t>
        </is>
      </c>
      <c r="B6" s="23" t="inlineStr">
        <is>
          <t>Cost anchor</t>
        </is>
      </c>
      <c r="C6" s="23" t="inlineStr">
        <is>
          <t>Build phase team scaling (4-8 people) and ongoing FTE (2-5 people at operational maturity).</t>
        </is>
      </c>
      <c r="D6" s="23" t="inlineStr">
        <is>
          <t>Internal industry advisor input, private correspondence</t>
        </is>
      </c>
      <c r="E6" s="3" t="inlineStr">
        <is>
          <t>24 Jun 2026</t>
        </is>
      </c>
    </row>
    <row r="7" ht="44" customHeight="1" s="42">
      <c r="A7" s="22" t="inlineStr">
        <is>
          <t>IND-03</t>
        </is>
      </c>
      <c r="B7" s="23" t="inlineStr">
        <is>
          <t>Cost anchor</t>
        </is>
      </c>
      <c r="C7" s="23" t="inlineStr">
        <is>
          <t>Change management / training budget flagged as consistently under-planned in enterprise IT.</t>
        </is>
      </c>
      <c r="D7" s="23" t="inlineStr">
        <is>
          <t>Internal industry advisor input, private correspondence</t>
        </is>
      </c>
      <c r="E7" s="3" t="inlineStr">
        <is>
          <t>24 Jun 2026</t>
        </is>
      </c>
    </row>
    <row r="8" ht="44" customHeight="1" s="42">
      <c r="A8" s="22" t="inlineStr">
        <is>
          <t>EST-01</t>
        </is>
      </c>
      <c r="B8" s="23" t="inlineStr">
        <is>
          <t>Estimate</t>
        </is>
      </c>
      <c r="C8" s="23" t="inlineStr">
        <is>
          <t>Roll-up: day-rate × team × days.</t>
        </is>
      </c>
      <c r="D8" s="23" t="inlineStr">
        <is>
          <t>Claude — arithmetic</t>
        </is>
      </c>
      <c r="E8" s="3" t="inlineStr">
        <is>
          <t>27 Jul 2026</t>
        </is>
      </c>
    </row>
    <row r="9" ht="44" customHeight="1" s="42">
      <c r="A9" s="22" t="inlineStr">
        <is>
          <t>EST-02</t>
        </is>
      </c>
      <c r="B9" s="23" t="inlineStr">
        <is>
          <t>Estimate</t>
        </is>
      </c>
      <c r="C9" s="23" t="inlineStr">
        <is>
          <t>Build phase duration scaling by volume tier. 90d small · 130d medium · 180d large.</t>
        </is>
      </c>
      <c r="D9" s="23" t="inlineStr">
        <is>
          <t>Claude — proportional scaling</t>
        </is>
      </c>
      <c r="E9" s="3" t="inlineStr">
        <is>
          <t>27 Jul 2026</t>
        </is>
      </c>
    </row>
    <row r="10" ht="44" customHeight="1" s="42">
      <c r="A10" s="22" t="inlineStr">
        <is>
          <t>EST-03</t>
        </is>
      </c>
      <c r="B10" s="23" t="inlineStr">
        <is>
          <t>Estimate</t>
        </is>
      </c>
      <c r="C10" s="23" t="inlineStr">
        <is>
          <t>Annual API/SaaS band. Layer 1 sources free; Layer 2 OPSGROUP ~£300/yr + AVWX freemium; Layer 3 AeroDataBox usage-billed at scale.</t>
        </is>
      </c>
      <c r="D10" s="23" t="inlineStr">
        <is>
          <t>Compiled from evidence-collection Layer 1/2/3 catalogue.</t>
        </is>
      </c>
      <c r="E10" s="3" t="inlineStr">
        <is>
          <t>27 Jul 2026</t>
        </is>
      </c>
    </row>
    <row r="11" ht="44" customHeight="1" s="42">
      <c r="A11" s="22" t="inlineStr">
        <is>
          <t>EST-04</t>
        </is>
      </c>
      <c r="B11" s="23" t="inlineStr">
        <is>
          <t>Estimate</t>
        </is>
      </c>
      <c r="C11" s="23" t="inlineStr">
        <is>
          <t>Hosting/infra scale. GitHub Actions free tier + Pages hosting; scales cheaply per-run.</t>
        </is>
      </c>
      <c r="D11" s="23" t="inlineStr">
        <is>
          <t>GitHub public pricing pages</t>
        </is>
      </c>
      <c r="E11" s="3" t="inlineStr">
        <is>
          <t>27 Jul 2026</t>
        </is>
      </c>
    </row>
    <row r="12" ht="44" customHeight="1" s="42">
      <c r="A12" s="24" t="inlineStr">
        <is>
          <t>PUB-CAA-01</t>
        </is>
      </c>
      <c r="B12" s="25" t="inlineStr">
        <is>
          <t>Public</t>
        </is>
      </c>
      <c r="C12" s="25" t="inlineStr">
        <is>
          <t>UK CAA enforcement action against Wizz Air, £1.24m outcome. Reference point for regulator penalty exposure.</t>
        </is>
      </c>
      <c r="D12" s="25" t="inlineStr">
        <is>
          <t>UK Civil Aviation Authority public announcement, Oct 2025</t>
        </is>
      </c>
      <c r="E12" s="4" t="inlineStr">
        <is>
          <t>Oct 2025</t>
        </is>
      </c>
    </row>
    <row r="13" ht="44" customHeight="1" s="42">
      <c r="A13" s="33" t="inlineStr">
        <is>
          <t>PUB-EZY</t>
        </is>
      </c>
      <c r="B13" s="34" t="inlineStr">
        <is>
          <t>Public</t>
        </is>
      </c>
      <c r="C13" s="34" t="inlineStr">
        <is>
          <t>easyJet FY25 £109m EC261 disclosed in CFO review; other line items estimated from CASK / headcount benchmarks.</t>
        </is>
      </c>
      <c r="D13" s="34" t="inlineStr">
        <is>
          <t>corporate.easyjet.com/investors + FCA filing NI-000135694</t>
        </is>
      </c>
      <c r="E13" s="33" t="inlineStr">
        <is>
          <t>27 Jul 2026</t>
        </is>
      </c>
    </row>
    <row r="14" ht="44" customHeight="1" s="42">
      <c r="A14" s="35" t="inlineStr">
        <is>
          <t>PUB-JT2</t>
        </is>
      </c>
      <c r="B14" s="36" t="inlineStr">
        <is>
          <t>Public — thin disclosure</t>
        </is>
      </c>
      <c r="C14" s="36" t="inlineStr">
        <is>
          <t>Jet2 FY25 preliminary results — Note 4 aggregates disruption costs; industry-leading 0.05% cancel rate implies lower per-pax EC261.</t>
        </is>
      </c>
      <c r="D14" s="36" t="inlineStr">
        <is>
          <t>jet2plc.com Annual Report 2025 + Preliminary Results 2025</t>
        </is>
      </c>
      <c r="E14" s="35" t="inlineStr">
        <is>
          <t>27 Jul 2026</t>
        </is>
      </c>
    </row>
    <row r="15" ht="44" customHeight="1" s="42">
      <c r="A15" s="35" t="inlineStr">
        <is>
          <t>PUB-IAG</t>
        </is>
      </c>
      <c r="B15" s="36" t="inlineStr">
        <is>
          <t>Public — not broken out</t>
        </is>
      </c>
      <c r="C15" s="36" t="inlineStr">
        <is>
          <t>IAG group ARA buckets EC261 inside 'Handling, catering and other operating costs'; BA plc files separately at Companies House for line-level disclosure.</t>
        </is>
      </c>
      <c r="D15" s="36" t="inlineStr">
        <is>
          <t>iairgroup.com annual report 2024/2025</t>
        </is>
      </c>
      <c r="E15" s="35" t="inlineStr">
        <is>
          <t>27 Jul 2026</t>
        </is>
      </c>
    </row>
    <row r="16" ht="44" customHeight="1" s="42">
      <c r="A16" s="33" t="inlineStr">
        <is>
          <t>PUB-RYA</t>
        </is>
      </c>
      <c r="B16" s="34" t="inlineStr">
        <is>
          <t>Public — FY26</t>
        </is>
      </c>
      <c r="C16" s="34" t="inlineStr">
        <is>
          <t>Ryanair FY26 preliminary results (18 May 2026): FY26 disclosed €85m provision for Italian AGCM fine + FY25 €54m Spanish baggage fine. EC261 embedded in 'Marketing, distribution and other' (€803.5m).</t>
        </is>
      </c>
      <c r="D16" s="34" t="inlineStr">
        <is>
          <t>investor.ryanair.com FY26 Preliminary Results + Annual Report 2026</t>
        </is>
      </c>
      <c r="E16" s="33" t="inlineStr">
        <is>
          <t>27 Jul 2026</t>
        </is>
      </c>
    </row>
    <row r="17" ht="44" customHeight="1" s="42">
      <c r="A17" s="33" t="inlineStr">
        <is>
          <t>PUB-WZZ</t>
        </is>
      </c>
      <c r="B17" s="34" t="inlineStr">
        <is>
          <t>Public — FY26</t>
        </is>
      </c>
      <c r="C17" s="34" t="inlineStr">
        <is>
          <t>Wizz Air FY26 AR strategic report p.11-12: disclosed 'flight disruption cost, including compensation paid to customers' €136.7m (F25 €166.5m). Management verbatim: 'the regulatory risk related to EC261 compensation has become a principal concern' (p.23).</t>
        </is>
      </c>
      <c r="D17" s="34" t="inlineStr">
        <is>
          <t>wizzair.com Annual Report &amp; Accounts F26</t>
        </is>
      </c>
      <c r="E17" s="33" t="inlineStr">
        <is>
          <t>27 Jul 2026</t>
        </is>
      </c>
    </row>
    <row r="18" ht="44" customHeight="1" s="42">
      <c r="A18" s="26" t="inlineStr">
        <is>
          <t>TBC-01</t>
        </is>
      </c>
      <c r="B18" s="27" t="inlineStr">
        <is>
          <t>To collect</t>
        </is>
      </c>
      <c r="C18" s="27" t="inlineStr">
        <is>
          <t>easyJet EC261 payout figure per year, claims team headcount, evidence vendor spend.</t>
        </is>
      </c>
      <c r="D18" s="27" t="inlineStr">
        <is>
          <t>easyJet annual report FY25 (or investor day materials)</t>
        </is>
      </c>
      <c r="E18" s="5" t="inlineStr">
        <is>
          <t>TBC</t>
        </is>
      </c>
    </row>
    <row r="19" ht="44" customHeight="1" s="42">
      <c r="A19" s="26" t="inlineStr">
        <is>
          <t>TBC-02</t>
        </is>
      </c>
      <c r="B19" s="27" t="inlineStr">
        <is>
          <t>To collect</t>
        </is>
      </c>
      <c r="C19" s="27" t="inlineStr">
        <is>
          <t>Jet2 EC261 payout figure per year, claims team headcount, evidence vendor spend.</t>
        </is>
      </c>
      <c r="D19" s="27" t="inlineStr">
        <is>
          <t>Jet2 annual report FY26</t>
        </is>
      </c>
      <c r="E19" s="5" t="inlineStr">
        <is>
          <t>TBC</t>
        </is>
      </c>
    </row>
    <row r="20" ht="44" customHeight="1" s="42">
      <c r="A20" s="26" t="inlineStr">
        <is>
          <t>TBC-03</t>
        </is>
      </c>
      <c r="B20" s="27" t="inlineStr">
        <is>
          <t>To collect</t>
        </is>
      </c>
      <c r="C20" s="27" t="inlineStr">
        <is>
          <t>IAG group-level EC261/261 payouts, BA-specific breakdown, claims team burden.</t>
        </is>
      </c>
      <c r="D20" s="27" t="inlineStr">
        <is>
          <t>IAG annual report FY25</t>
        </is>
      </c>
      <c r="E20" s="5" t="inlineStr">
        <is>
          <t>TBC</t>
        </is>
      </c>
    </row>
    <row r="21" ht="44" customHeight="1" s="42">
      <c r="A21" s="26" t="inlineStr">
        <is>
          <t>TBC-04</t>
        </is>
      </c>
      <c r="B21" s="27" t="inlineStr">
        <is>
          <t>To collect</t>
        </is>
      </c>
      <c r="C21" s="27" t="inlineStr">
        <is>
          <t>Ryanair EC261 payout figure per year, claims team, evidence vendor spend.</t>
        </is>
      </c>
      <c r="D21" s="27" t="inlineStr">
        <is>
          <t>Ryanair annual report FY26 (Mar year-end)</t>
        </is>
      </c>
      <c r="E21" s="5" t="inlineStr">
        <is>
          <t>TBC</t>
        </is>
      </c>
    </row>
    <row r="22" ht="44" customHeight="1" s="42">
      <c r="A22" s="26" t="inlineStr">
        <is>
          <t>TBC-05</t>
        </is>
      </c>
      <c r="B22" s="27" t="inlineStr">
        <is>
          <t>To collect</t>
        </is>
      </c>
      <c r="C22" s="27" t="inlineStr">
        <is>
          <t>Wizz Air EC261 payout figure per year, claims team, evidence vendor spend, regulator provisions.</t>
        </is>
      </c>
      <c r="D22" s="27" t="inlineStr">
        <is>
          <t>Wizz Air annual report FY26 (Mar year-end)</t>
        </is>
      </c>
      <c r="E22" s="5" t="inlineStr">
        <is>
          <t>TBC</t>
        </is>
      </c>
    </row>
    <row r="23" ht="44" customHeight="1" s="42">
      <c r="A23" s="37" t="inlineStr">
        <is>
          <t>EST-EZY-01</t>
        </is>
      </c>
      <c r="B23" s="36" t="inlineStr">
        <is>
          <t>Estimate — from EZY</t>
        </is>
      </c>
      <c r="C23" s="36" t="inlineStr">
        <is>
          <t>Claims FTE / legal-prof / evidence vendor / regulator lines derived from CASK, headcount, %-of-tech-spend benchmarks; sourced figure is only the £109m EC261.</t>
        </is>
      </c>
      <c r="D23" s="36" t="inlineStr">
        <is>
          <t>Claude analysis of easyJet FY25 CFO review</t>
        </is>
      </c>
      <c r="E23" s="38" t="inlineStr">
        <is>
          <t>27 Jul 2026</t>
        </is>
      </c>
    </row>
    <row r="24" ht="44" customHeight="1" s="42">
      <c r="A24" s="37" t="inlineStr">
        <is>
          <t>EST-JT2-01</t>
        </is>
      </c>
      <c r="B24" s="36" t="inlineStr">
        <is>
          <t>Estimate — from JT2</t>
        </is>
      </c>
      <c r="C24" s="36" t="inlineStr">
        <is>
          <t>All line items estimated. Jet2's segment reporting does not split airline from holidays.</t>
        </is>
      </c>
      <c r="D24" s="36" t="inlineStr">
        <is>
          <t>Claude analysis of Jet2 FY25 Preliminary Results</t>
        </is>
      </c>
      <c r="E24" s="38" t="inlineStr">
        <is>
          <t>27 Jul 2026</t>
        </is>
      </c>
    </row>
    <row r="25" ht="44" customHeight="1" s="42">
      <c r="A25" s="37" t="inlineStr">
        <is>
          <t>EST-BA-01</t>
        </is>
      </c>
      <c r="B25" s="36" t="inlineStr">
        <is>
          <t>Estimate — from IAG</t>
        </is>
      </c>
      <c r="C25" s="36" t="inlineStr">
        <is>
          <t>IAG doesn't disclose line items at the level needed. BA-specific figures derived from ~45m pax × per-pax industry benchmarks (A4E disclosures + peer disclosures).</t>
        </is>
      </c>
      <c r="D25" s="36" t="inlineStr">
        <is>
          <t>Claude analysis of IAG FY24 ARA + industry benchmarks</t>
        </is>
      </c>
      <c r="E25" s="38" t="inlineStr">
        <is>
          <t>27 Jul 2026</t>
        </is>
      </c>
    </row>
    <row r="26" ht="44" customHeight="1" s="42">
      <c r="A26" s="37" t="inlineStr">
        <is>
          <t>EST-RYA-01</t>
        </is>
      </c>
      <c r="B26" s="36" t="inlineStr">
        <is>
          <t>Estimate — from RYA</t>
        </is>
      </c>
      <c r="C26" s="36" t="inlineStr">
        <is>
          <t>Non-regulator lines estimated from Ryanair FY26 operating cost buckets; regulator line (£72m) is £-converted from disclosed €85m provision.</t>
        </is>
      </c>
      <c r="D26" s="36" t="inlineStr">
        <is>
          <t>Claude analysis of Ryanair FY26 preliminary results</t>
        </is>
      </c>
      <c r="E26" s="38" t="inlineStr">
        <is>
          <t>27 Jul 2026</t>
        </is>
      </c>
    </row>
    <row r="27" ht="44" customHeight="1" s="42">
      <c r="A27" s="37" t="inlineStr">
        <is>
          <t>EST-WZZ-01</t>
        </is>
      </c>
      <c r="B27" s="36" t="inlineStr">
        <is>
          <t>Estimate — from WZZ</t>
        </is>
      </c>
      <c r="C27" s="36" t="inlineStr">
        <is>
          <t>Non-EC261 non-regulator lines estimated. EC261 (€60m point) is 44% of disclosed €136.7m combined disruption cost (per FY26 AR).</t>
        </is>
      </c>
      <c r="D27" s="36" t="inlineStr">
        <is>
          <t>Claude analysis of Wizz Air FY26 ARA</t>
        </is>
      </c>
      <c r="E27" s="38" t="inlineStr">
        <is>
          <t>27 Jul 2026</t>
        </is>
      </c>
    </row>
    <row r="28" ht="44" customHeight="1" s="42">
      <c r="A28" s="39" t="inlineStr">
        <is>
          <t>PUB-CAA-01</t>
        </is>
      </c>
      <c r="B28" s="34" t="inlineStr">
        <is>
          <t>Public — UK regulator</t>
        </is>
      </c>
      <c r="C28" s="34" t="inlineStr">
        <is>
          <t>UK Civil Aviation Authority enforcement action against Wizz Air Oct 2025, £1.24m outcome. Reference point for regulator penalty exposure.</t>
        </is>
      </c>
      <c r="D28" s="34" t="inlineStr">
        <is>
          <t>UK CAA public announcement, Oct 2025</t>
        </is>
      </c>
      <c r="E28" s="40" t="inlineStr">
        <is>
          <t>Oct 2025</t>
        </is>
      </c>
    </row>
    <row r="29" ht="44" customHeight="1" s="42">
      <c r="A29" s="39" t="inlineStr">
        <is>
          <t>PUB-AGCM-01</t>
        </is>
      </c>
      <c r="B29" s="34" t="inlineStr">
        <is>
          <t>Public — Italian regulator</t>
        </is>
      </c>
      <c r="C29" s="34" t="inlineStr">
        <is>
          <t>Italian AGCM December 2025 fine against Ryanair €256m for 'baseless' Google-search-integration case; Ryanair provided 33% (€85m). Under appeal.</t>
        </is>
      </c>
      <c r="D29" s="34" t="inlineStr">
        <is>
          <t>Ryanair FY26 preliminary results + AGCM announcement</t>
        </is>
      </c>
      <c r="E29" s="40" t="inlineStr">
        <is>
          <t>Dec 2025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2026-07-27T14:45:26Z</dcterms:created>
  <dcterms:modified xsi:type="dcterms:W3CDTF">2026-07-27T19:36:25Z</dcterms:modified>
  <cp:lastModifiedBy>Henry Evans58</cp:lastModifiedBy>
</cp:coreProperties>
</file>